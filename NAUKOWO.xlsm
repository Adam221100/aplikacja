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mrfla\Desktop\Studia\src oolla\Semestr IV\PAU Programowanie aplikacji_użytk\"/>
    </mc:Choice>
  </mc:AlternateContent>
  <xr:revisionPtr revIDLastSave="0" documentId="13_ncr:1_{8EC06FE2-326C-403F-9C87-AC0C8271A10A}" xr6:coauthVersionLast="47" xr6:coauthVersionMax="47" xr10:uidLastSave="{00000000-0000-0000-0000-000000000000}"/>
  <bookViews>
    <workbookView xWindow="-108" yWindow="-108" windowWidth="22320" windowHeight="13176" xr2:uid="{00000000-000D-0000-FFFF-FFFF00000000}"/>
  </bookViews>
  <sheets>
    <sheet name="Arkusz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6" i="1" l="1"/>
  <c r="G6" i="1"/>
  <c r="B6" i="1"/>
  <c r="C6" i="1"/>
  <c r="A6" i="1"/>
  <c r="G2" i="1"/>
  <c r="F2" i="1"/>
  <c r="E2" i="1"/>
  <c r="E6" i="1" s="1"/>
  <c r="F41" i="1" a="1"/>
  <c r="D36" i="1" a="1"/>
  <c r="F34" i="1" a="1"/>
  <c r="E32" i="1" a="1"/>
  <c r="D34" i="1" a="1"/>
  <c r="C3" i="1" a="1"/>
  <c r="D11" i="1" a="1"/>
  <c r="N11" i="1" a="1"/>
  <c r="D15" i="1" a="1"/>
  <c r="A19" i="1" a="1"/>
  <c r="N16" i="1" a="1"/>
  <c r="E3" i="1" a="1"/>
  <c r="O1" i="1" a="1"/>
  <c r="B3" i="1" a="1"/>
  <c r="D14" i="1" a="1"/>
  <c r="D13" i="1" a="1"/>
  <c r="A3" i="1" a="1"/>
  <c r="G26" i="1" a="1"/>
  <c r="M8" i="1" a="1"/>
  <c r="G3" i="1" a="1"/>
  <c r="F3" i="1" a="1"/>
  <c r="K16" i="1" a="1"/>
  <c r="D12" i="1" a="1"/>
  <c r="O4" i="1" a="1"/>
  <c r="F41" i="1" l="1"/>
  <c r="D36" i="1"/>
  <c r="F34" i="1"/>
  <c r="E32" i="1"/>
  <c r="D34" i="1"/>
  <c r="G26" i="1"/>
  <c r="M8" i="1"/>
  <c r="N11" i="1"/>
  <c r="C3" i="1"/>
  <c r="B3" i="1"/>
  <c r="F3" i="1"/>
  <c r="G3" i="1"/>
  <c r="K16" i="1"/>
  <c r="N16" i="1"/>
  <c r="O4" i="1"/>
  <c r="A19" i="1"/>
  <c r="O1" i="1"/>
  <c r="D13" i="1"/>
  <c r="D15" i="1"/>
  <c r="D14" i="1"/>
  <c r="D12" i="1"/>
  <c r="D11" i="1"/>
  <c r="E3" i="1"/>
  <c r="A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<sst xmlns="http://schemas.openxmlformats.org/spreadsheetml/2006/main" count="27" uniqueCount="27">
  <si>
    <t>Stopnie Na Radiany</t>
  </si>
  <si>
    <t>RadianyNa Stopnie</t>
  </si>
  <si>
    <t>Powinno być dla 60,45,30</t>
  </si>
  <si>
    <t>Powinno być dla PI/3, PI/2, 2*PI</t>
  </si>
  <si>
    <t>ZADANIE 1</t>
  </si>
  <si>
    <t>&lt;----------</t>
  </si>
  <si>
    <t>&lt;-----------</t>
  </si>
  <si>
    <t>Inne przykłady funkcji</t>
  </si>
  <si>
    <t>Przykład 1: Funkcja zmieniająca imię i nazwisko na inicjały</t>
  </si>
  <si>
    <t>Imię</t>
  </si>
  <si>
    <t>Nazwisko</t>
  </si>
  <si>
    <t>Inicjały</t>
  </si>
  <si>
    <t>Oliwia</t>
  </si>
  <si>
    <t>Bąk</t>
  </si>
  <si>
    <t>Kacper</t>
  </si>
  <si>
    <t>Zawada</t>
  </si>
  <si>
    <t>Aneta</t>
  </si>
  <si>
    <t>Styś</t>
  </si>
  <si>
    <t>Maciej</t>
  </si>
  <si>
    <t>Fossa</t>
  </si>
  <si>
    <t>Piaskowa</t>
  </si>
  <si>
    <t>Aleksandra</t>
  </si>
  <si>
    <t>Przykład 2: Funkcja tworząca tabelę z dniami tygodnia oraz druga tworząca listę miesięcy</t>
  </si>
  <si>
    <t>ZADANIE 2</t>
  </si>
  <si>
    <t>----------&gt;</t>
  </si>
  <si>
    <t>vvvCelNaFah</t>
  </si>
  <si>
    <t>FahNaCel^^^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</si>
</sst>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charset val="238"/>
      <scheme val="minor"/>
    </font>
    <font>
      <sz val="1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  <charset val="238"/>
      <scheme val="minor"/>
    </font>
    <font>
      <b/>
      <i/>
      <sz val="11"/>
      <color theme="1"/>
      <name val="Abadi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CC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9" borderId="0" xfId="0" applyFill="1"/>
    <xf numFmtId="0" fontId="0" fillId="10" borderId="0" xfId="0" applyFill="1"/>
    <xf numFmtId="0" fontId="3" fillId="10" borderId="0" xfId="0" applyFont="1" applyFill="1"/>
    <xf numFmtId="0" fontId="4" fillId="9" borderId="0" xfId="0" applyFont="1" applyFill="1"/>
    <xf numFmtId="0" fontId="0" fillId="0" borderId="0" xfId="0" quotePrefix="1"/>
    <xf numFmtId="0" fontId="5" fillId="10" borderId="0" xfId="0" applyFont="1" applyFill="1"/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</cellXfs>
  <cellStyles count="1">
    <cellStyle name="Normalny" xfId="0" builtinId="0"/>
  </cellStyles>
  <dxfs count="0"/>
  <tableStyles count="0" defaultTableStyle="TableStyleMedium2" defaultPivotStyle="PivotStyleLight16"/>
  <colors>
    <mruColors>
      <color rgb="FFFFCCCC"/>
      <color rgb="FFFF7C80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BL41"/>
  <sheetViews>
    <sheetView tabSelected="1" topLeftCell="A25" workbookViewId="0">
      <selection activeCell="F42" sqref="F42"/>
    </sheetView>
  </sheetViews>
  <sheetFormatPr defaultRowHeight="14.4" x14ac:dyDescent="0.3"/>
  <cols>
    <col min="11" max="11" width="9.88671875" bestFit="1" customWidth="1"/>
    <col min="14" max="14" width="9.88671875" bestFit="1" customWidth="1"/>
  </cols>
  <sheetData>
    <row r="1" spans="1:64" x14ac:dyDescent="0.3">
      <c r="A1" s="13" t="s">
        <v>0</v>
      </c>
      <c r="B1" s="13"/>
      <c r="C1" s="13"/>
      <c r="E1" s="14" t="s">
        <v>1</v>
      </c>
      <c r="F1" s="14"/>
      <c r="G1" s="14"/>
      <c r="H1" t="s">
        <v>5</v>
      </c>
      <c r="I1" s="12" t="s">
        <v>4</v>
      </c>
      <c r="J1" s="12"/>
      <c r="L1" s="12" t="s">
        <v>23</v>
      </c>
      <c r="M1" s="12"/>
      <c r="N1" s="9" t="s">
        <v>24</v>
      </c>
      <c r="O1" s="6" cm="1">
        <f t="array" ref="O1:BL2">StopnieCelsjusza(5,10)</f>
        <v>5</v>
      </c>
      <c r="P1" s="6">
        <v>15</v>
      </c>
      <c r="Q1" s="6">
        <v>25</v>
      </c>
      <c r="R1" s="6">
        <v>35</v>
      </c>
      <c r="S1" s="6">
        <v>45</v>
      </c>
      <c r="T1" s="6">
        <v>55</v>
      </c>
      <c r="U1" s="6">
        <v>65</v>
      </c>
      <c r="V1" s="6">
        <v>75</v>
      </c>
      <c r="W1" s="6">
        <v>85</v>
      </c>
      <c r="X1" s="6">
        <v>95</v>
      </c>
      <c r="Y1" s="6">
        <v>105</v>
      </c>
      <c r="Z1" s="6">
        <v>115</v>
      </c>
      <c r="AA1" s="6">
        <v>125</v>
      </c>
      <c r="AB1" s="6">
        <v>135</v>
      </c>
      <c r="AC1" s="6">
        <v>145</v>
      </c>
      <c r="AD1" s="6">
        <v>155</v>
      </c>
      <c r="AE1" s="6">
        <v>165</v>
      </c>
      <c r="AF1" s="6">
        <v>175</v>
      </c>
      <c r="AG1" s="6">
        <v>185</v>
      </c>
      <c r="AH1" s="6">
        <v>195</v>
      </c>
      <c r="AI1" s="6">
        <v>205</v>
      </c>
      <c r="AJ1" s="6">
        <v>215</v>
      </c>
      <c r="AK1" s="6">
        <v>225</v>
      </c>
      <c r="AL1" s="6">
        <v>235</v>
      </c>
      <c r="AM1" s="6">
        <v>245</v>
      </c>
      <c r="AN1" s="6">
        <v>255</v>
      </c>
      <c r="AO1" s="6">
        <v>265</v>
      </c>
      <c r="AP1" s="6">
        <v>275</v>
      </c>
      <c r="AQ1" s="6">
        <v>285</v>
      </c>
      <c r="AR1" s="6">
        <v>295</v>
      </c>
      <c r="AS1" s="6">
        <v>305</v>
      </c>
      <c r="AT1" s="6">
        <v>315</v>
      </c>
      <c r="AU1" s="6">
        <v>325</v>
      </c>
      <c r="AV1" s="6">
        <v>335</v>
      </c>
      <c r="AW1" s="6">
        <v>345</v>
      </c>
      <c r="AX1" s="6">
        <v>355</v>
      </c>
      <c r="AY1" s="6">
        <v>365</v>
      </c>
      <c r="AZ1" s="6">
        <v>375</v>
      </c>
      <c r="BA1" s="6">
        <v>385</v>
      </c>
      <c r="BB1" s="6">
        <v>395</v>
      </c>
      <c r="BC1" s="6">
        <v>405</v>
      </c>
      <c r="BD1" s="6">
        <v>415</v>
      </c>
      <c r="BE1" s="6">
        <v>425</v>
      </c>
      <c r="BF1" s="6">
        <v>435</v>
      </c>
      <c r="BG1" s="6">
        <v>445</v>
      </c>
      <c r="BH1" s="6">
        <v>455</v>
      </c>
      <c r="BI1" s="6">
        <v>465</v>
      </c>
      <c r="BJ1" s="6">
        <v>475</v>
      </c>
      <c r="BK1" s="6">
        <v>485</v>
      </c>
      <c r="BL1" s="6">
        <v>495</v>
      </c>
    </row>
    <row r="2" spans="1:64" x14ac:dyDescent="0.3">
      <c r="A2" s="2">
        <v>30</v>
      </c>
      <c r="B2" s="2">
        <v>45</v>
      </c>
      <c r="C2" s="2">
        <v>60</v>
      </c>
      <c r="E2" s="1">
        <f>PI()/3</f>
        <v>1.0471975511965976</v>
      </c>
      <c r="F2" s="1">
        <f>PI()/2</f>
        <v>1.5707963267948966</v>
      </c>
      <c r="G2" s="1">
        <f>2*PI()</f>
        <v>6.2831853071795862</v>
      </c>
      <c r="O2" s="6">
        <v>-15</v>
      </c>
      <c r="P2" s="6">
        <v>-9.4444444444444446</v>
      </c>
      <c r="Q2" s="6">
        <v>-3.8888888888888888</v>
      </c>
      <c r="R2" s="6">
        <v>1.6666666666666667</v>
      </c>
      <c r="S2" s="6">
        <v>7.2222222222222223</v>
      </c>
      <c r="T2" s="6">
        <v>12.777777777777779</v>
      </c>
      <c r="U2" s="6">
        <v>18.333333333333332</v>
      </c>
      <c r="V2" s="6">
        <v>23.888888888888889</v>
      </c>
      <c r="W2" s="6">
        <v>29.444444444444443</v>
      </c>
      <c r="X2" s="6">
        <v>35</v>
      </c>
      <c r="Y2" s="6">
        <v>40.555555555555557</v>
      </c>
      <c r="Z2" s="6">
        <v>46.111111111111114</v>
      </c>
      <c r="AA2" s="6">
        <v>51.666666666666664</v>
      </c>
      <c r="AB2" s="6">
        <v>57.222222222222221</v>
      </c>
      <c r="AC2" s="6">
        <v>62.777777777777779</v>
      </c>
      <c r="AD2" s="6">
        <v>68.333333333333329</v>
      </c>
      <c r="AE2" s="6">
        <v>73.888888888888886</v>
      </c>
      <c r="AF2" s="6">
        <v>79.444444444444443</v>
      </c>
      <c r="AG2" s="6">
        <v>85</v>
      </c>
      <c r="AH2" s="6">
        <v>90.555555555555557</v>
      </c>
      <c r="AI2" s="6">
        <v>96.111111111111114</v>
      </c>
      <c r="AJ2" s="6">
        <v>101.66666666666667</v>
      </c>
      <c r="AK2" s="6">
        <v>107.22222222222223</v>
      </c>
      <c r="AL2" s="6">
        <v>112.77777777777777</v>
      </c>
      <c r="AM2" s="6">
        <v>118.33333333333333</v>
      </c>
      <c r="AN2" s="6">
        <v>123.88888888888889</v>
      </c>
      <c r="AO2" s="6">
        <v>129.44444444444446</v>
      </c>
      <c r="AP2" s="6">
        <v>135</v>
      </c>
      <c r="AQ2" s="6">
        <v>140.55555555555554</v>
      </c>
      <c r="AR2" s="6">
        <v>146.11111111111111</v>
      </c>
      <c r="AS2" s="6">
        <v>151.66666666666666</v>
      </c>
      <c r="AT2" s="6">
        <v>157.22222222222223</v>
      </c>
      <c r="AU2" s="6">
        <v>162.77777777777777</v>
      </c>
      <c r="AV2" s="6">
        <v>168.33333333333334</v>
      </c>
      <c r="AW2" s="6">
        <v>173.88888888888889</v>
      </c>
      <c r="AX2" s="6">
        <v>179.44444444444446</v>
      </c>
      <c r="AY2" s="6">
        <v>185</v>
      </c>
      <c r="AZ2" s="6">
        <v>190.55555555555554</v>
      </c>
      <c r="BA2" s="6">
        <v>196.11111111111111</v>
      </c>
      <c r="BB2" s="6">
        <v>201.66666666666666</v>
      </c>
      <c r="BC2" s="6">
        <v>207.22222222222223</v>
      </c>
      <c r="BD2" s="6">
        <v>212.77777777777777</v>
      </c>
      <c r="BE2" s="6">
        <v>218.33333333333334</v>
      </c>
      <c r="BF2" s="6">
        <v>223.88888888888889</v>
      </c>
      <c r="BG2" s="6">
        <v>229.44444444444446</v>
      </c>
      <c r="BH2" s="6">
        <v>235</v>
      </c>
      <c r="BI2" s="6">
        <v>240.55555555555554</v>
      </c>
      <c r="BJ2" s="6">
        <v>246.11111111111111</v>
      </c>
      <c r="BK2" s="6">
        <v>251.66666666666666</v>
      </c>
      <c r="BL2" s="6">
        <v>257.22222222222223</v>
      </c>
    </row>
    <row r="3" spans="1:64" x14ac:dyDescent="0.3">
      <c r="A3" cm="1">
        <f t="array" ref="A3">StopnieNaRadian(A2)</f>
        <v>0.52359877559829882</v>
      </c>
      <c r="B3" cm="1">
        <f t="array" ref="B3">StopnieNaRadian(B2)</f>
        <v>0.78539816339744828</v>
      </c>
      <c r="C3" cm="1">
        <f t="array" ref="C3">StopnieNaRadian(C2)</f>
        <v>1.0471975511965976</v>
      </c>
      <c r="E3" cm="1">
        <f t="array" ref="E3">RadianNaStopnie(E2)</f>
        <v>59.999999999999993</v>
      </c>
      <c r="F3" cm="1">
        <f t="array" ref="F3">RadianNaStopnie(F2)</f>
        <v>90</v>
      </c>
      <c r="G3" cm="1">
        <f t="array" ref="G3">RadianNaStopnie(G2)</f>
        <v>360</v>
      </c>
      <c r="O3" s="10" t="s">
        <v>26</v>
      </c>
      <c r="P3" s="10"/>
      <c r="Q3" s="10" t="s">
        <v>25</v>
      </c>
      <c r="R3" s="10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</row>
    <row r="4" spans="1:64" x14ac:dyDescent="0.3">
      <c r="O4" s="6" cm="1">
        <f t="array" ref="O4:BB5">CelcjuszNaFahrenheita(0)</f>
        <v>0</v>
      </c>
      <c r="P4" s="6">
        <v>5</v>
      </c>
      <c r="Q4" s="6">
        <v>10</v>
      </c>
      <c r="R4" s="6">
        <v>15</v>
      </c>
      <c r="S4" s="6">
        <v>20</v>
      </c>
      <c r="T4" s="6">
        <v>25</v>
      </c>
      <c r="U4" s="6">
        <v>30</v>
      </c>
      <c r="V4" s="6">
        <v>35</v>
      </c>
      <c r="W4" s="6">
        <v>40</v>
      </c>
      <c r="X4" s="6">
        <v>45</v>
      </c>
      <c r="Y4" s="6">
        <v>50</v>
      </c>
      <c r="Z4" s="6">
        <v>55</v>
      </c>
      <c r="AA4" s="6">
        <v>60</v>
      </c>
      <c r="AB4" s="6">
        <v>65</v>
      </c>
      <c r="AC4" s="6">
        <v>70</v>
      </c>
      <c r="AD4" s="6">
        <v>75</v>
      </c>
      <c r="AE4" s="6">
        <v>80</v>
      </c>
      <c r="AF4" s="6">
        <v>85</v>
      </c>
      <c r="AG4" s="6">
        <v>90</v>
      </c>
      <c r="AH4" s="6">
        <v>95</v>
      </c>
      <c r="AI4" s="6">
        <v>100</v>
      </c>
      <c r="AJ4" s="6">
        <v>105</v>
      </c>
      <c r="AK4" s="6">
        <v>110</v>
      </c>
      <c r="AL4" s="6">
        <v>115</v>
      </c>
      <c r="AM4" s="6">
        <v>120</v>
      </c>
      <c r="AN4" s="6">
        <v>125</v>
      </c>
      <c r="AO4" s="6">
        <v>130</v>
      </c>
      <c r="AP4" s="6">
        <v>135</v>
      </c>
      <c r="AQ4" s="6">
        <v>140</v>
      </c>
      <c r="AR4" s="6">
        <v>145</v>
      </c>
      <c r="AS4" s="6">
        <v>150</v>
      </c>
      <c r="AT4" s="6">
        <v>155</v>
      </c>
      <c r="AU4" s="6">
        <v>160</v>
      </c>
      <c r="AV4" s="6">
        <v>165</v>
      </c>
      <c r="AW4" s="6">
        <v>170</v>
      </c>
      <c r="AX4" s="6">
        <v>175</v>
      </c>
      <c r="AY4" s="6">
        <v>180</v>
      </c>
      <c r="AZ4" s="6">
        <v>185</v>
      </c>
      <c r="BA4" s="6">
        <v>190</v>
      </c>
      <c r="BB4" s="6">
        <v>195</v>
      </c>
      <c r="BC4" s="6"/>
      <c r="BD4" s="6"/>
      <c r="BE4" s="6"/>
      <c r="BF4" s="6"/>
      <c r="BG4" s="6"/>
      <c r="BH4" s="6"/>
      <c r="BI4" s="6"/>
      <c r="BJ4" s="6"/>
      <c r="BK4" s="6"/>
      <c r="BL4" s="6"/>
    </row>
    <row r="5" spans="1:64" x14ac:dyDescent="0.3">
      <c r="A5" s="15" t="s">
        <v>2</v>
      </c>
      <c r="B5" s="15"/>
      <c r="C5" s="15"/>
      <c r="E5" s="16" t="s">
        <v>3</v>
      </c>
      <c r="F5" s="17"/>
      <c r="G5" s="17"/>
      <c r="O5" s="6">
        <v>32</v>
      </c>
      <c r="P5" s="6">
        <v>41</v>
      </c>
      <c r="Q5" s="6">
        <v>50</v>
      </c>
      <c r="R5" s="6">
        <v>59</v>
      </c>
      <c r="S5" s="6">
        <v>68</v>
      </c>
      <c r="T5" s="6">
        <v>77</v>
      </c>
      <c r="U5" s="6">
        <v>86</v>
      </c>
      <c r="V5" s="6">
        <v>95</v>
      </c>
      <c r="W5" s="6">
        <v>104</v>
      </c>
      <c r="X5" s="6">
        <v>113</v>
      </c>
      <c r="Y5" s="6">
        <v>122</v>
      </c>
      <c r="Z5" s="6">
        <v>131</v>
      </c>
      <c r="AA5" s="6">
        <v>140</v>
      </c>
      <c r="AB5" s="6">
        <v>149</v>
      </c>
      <c r="AC5" s="6">
        <v>158</v>
      </c>
      <c r="AD5" s="6">
        <v>167</v>
      </c>
      <c r="AE5" s="6">
        <v>176</v>
      </c>
      <c r="AF5" s="6">
        <v>185</v>
      </c>
      <c r="AG5" s="6">
        <v>194</v>
      </c>
      <c r="AH5" s="6">
        <v>203</v>
      </c>
      <c r="AI5" s="6">
        <v>212</v>
      </c>
      <c r="AJ5" s="6">
        <v>221</v>
      </c>
      <c r="AK5" s="6">
        <v>230</v>
      </c>
      <c r="AL5" s="6">
        <v>239</v>
      </c>
      <c r="AM5" s="6">
        <v>248</v>
      </c>
      <c r="AN5" s="6">
        <v>257</v>
      </c>
      <c r="AO5" s="6">
        <v>266</v>
      </c>
      <c r="AP5" s="6">
        <v>275</v>
      </c>
      <c r="AQ5" s="6">
        <v>284</v>
      </c>
      <c r="AR5" s="6">
        <v>293</v>
      </c>
      <c r="AS5" s="6">
        <v>302</v>
      </c>
      <c r="AT5" s="6">
        <v>311</v>
      </c>
      <c r="AU5" s="6">
        <v>320</v>
      </c>
      <c r="AV5" s="6">
        <v>329</v>
      </c>
      <c r="AW5" s="6">
        <v>338</v>
      </c>
      <c r="AX5" s="6">
        <v>347</v>
      </c>
      <c r="AY5" s="6">
        <v>356</v>
      </c>
      <c r="AZ5" s="6">
        <v>365</v>
      </c>
      <c r="BA5" s="6">
        <v>374</v>
      </c>
      <c r="BB5" s="6">
        <v>383</v>
      </c>
      <c r="BC5" s="6"/>
      <c r="BD5" s="6"/>
      <c r="BE5" s="6"/>
      <c r="BF5" s="6"/>
      <c r="BG5" s="6"/>
      <c r="BH5" s="6"/>
      <c r="BI5" s="6"/>
      <c r="BJ5" s="6"/>
      <c r="BK5" s="6"/>
      <c r="BL5" s="6"/>
    </row>
    <row r="6" spans="1:64" x14ac:dyDescent="0.3">
      <c r="A6" s="4">
        <f>RADIANS(A2)</f>
        <v>0.52359877559829882</v>
      </c>
      <c r="B6" s="4">
        <f>RADIANS(B2)</f>
        <v>0.78539816339744828</v>
      </c>
      <c r="C6" s="4">
        <f>RADIANS(C2)</f>
        <v>1.0471975511965976</v>
      </c>
      <c r="E6" s="3">
        <f>DEGREES(E2)</f>
        <v>59.999999999999993</v>
      </c>
      <c r="F6" s="3">
        <f>DEGREES(F2)</f>
        <v>90</v>
      </c>
      <c r="G6" s="3">
        <f>DEGREES(G2)</f>
        <v>360</v>
      </c>
    </row>
    <row r="7" spans="1:64" x14ac:dyDescent="0.3">
      <c r="M7">
        <v>30</v>
      </c>
    </row>
    <row r="8" spans="1:64" x14ac:dyDescent="0.3">
      <c r="A8" s="5" t="s">
        <v>8</v>
      </c>
      <c r="B8" s="5"/>
      <c r="C8" s="5"/>
      <c r="D8" s="5"/>
      <c r="E8" s="5"/>
      <c r="F8" s="5"/>
      <c r="G8" s="5"/>
      <c r="H8" t="s">
        <v>6</v>
      </c>
      <c r="I8" s="11" t="s">
        <v>7</v>
      </c>
      <c r="J8" s="11"/>
      <c r="M8" cm="1">
        <f t="array" ref="M8">KELVIN(M7)</f>
        <v>272.03888888888889</v>
      </c>
    </row>
    <row r="10" spans="1:64" x14ac:dyDescent="0.3">
      <c r="A10" s="6" t="s">
        <v>9</v>
      </c>
      <c r="B10" s="6" t="s">
        <v>10</v>
      </c>
      <c r="D10" s="6" t="s">
        <v>11</v>
      </c>
    </row>
    <row r="11" spans="1:64" x14ac:dyDescent="0.3">
      <c r="A11" s="7" t="s">
        <v>12</v>
      </c>
      <c r="B11" s="7" t="s">
        <v>13</v>
      </c>
      <c r="D11" s="6" t="str" cm="1">
        <f t="array" ref="D11">Inicjaly(A11,B11)</f>
        <v>OB</v>
      </c>
      <c r="N11" cm="1">
        <f t="array" ref="N11:BA12">CelcjuszNaFahrenheita(5)</f>
        <v>5</v>
      </c>
      <c r="O11">
        <v>10</v>
      </c>
      <c r="P11">
        <v>15</v>
      </c>
      <c r="Q11">
        <v>20</v>
      </c>
      <c r="R11">
        <v>25</v>
      </c>
      <c r="S11">
        <v>30</v>
      </c>
      <c r="T11">
        <v>35</v>
      </c>
      <c r="U11">
        <v>40</v>
      </c>
      <c r="V11">
        <v>45</v>
      </c>
      <c r="W11">
        <v>50</v>
      </c>
      <c r="X11">
        <v>55</v>
      </c>
      <c r="Y11">
        <v>60</v>
      </c>
      <c r="Z11">
        <v>65</v>
      </c>
      <c r="AA11">
        <v>70</v>
      </c>
      <c r="AB11">
        <v>75</v>
      </c>
      <c r="AC11">
        <v>80</v>
      </c>
      <c r="AD11">
        <v>85</v>
      </c>
      <c r="AE11">
        <v>90</v>
      </c>
      <c r="AF11">
        <v>95</v>
      </c>
      <c r="AG11">
        <v>100</v>
      </c>
      <c r="AH11">
        <v>105</v>
      </c>
      <c r="AI11">
        <v>110</v>
      </c>
      <c r="AJ11">
        <v>115</v>
      </c>
      <c r="AK11">
        <v>120</v>
      </c>
      <c r="AL11">
        <v>125</v>
      </c>
      <c r="AM11">
        <v>130</v>
      </c>
      <c r="AN11">
        <v>135</v>
      </c>
      <c r="AO11">
        <v>140</v>
      </c>
      <c r="AP11">
        <v>145</v>
      </c>
      <c r="AQ11">
        <v>150</v>
      </c>
      <c r="AR11">
        <v>155</v>
      </c>
      <c r="AS11">
        <v>160</v>
      </c>
      <c r="AT11">
        <v>165</v>
      </c>
      <c r="AU11">
        <v>170</v>
      </c>
      <c r="AV11">
        <v>175</v>
      </c>
      <c r="AW11">
        <v>180</v>
      </c>
      <c r="AX11">
        <v>185</v>
      </c>
      <c r="AY11">
        <v>190</v>
      </c>
      <c r="AZ11">
        <v>195</v>
      </c>
      <c r="BA11">
        <v>200</v>
      </c>
    </row>
    <row r="12" spans="1:64" x14ac:dyDescent="0.3">
      <c r="A12" s="7" t="s">
        <v>14</v>
      </c>
      <c r="B12" s="7" t="s">
        <v>15</v>
      </c>
      <c r="D12" s="6" t="str" cm="1">
        <f t="array" ref="D12">Inicjaly(A12,B12)</f>
        <v>KZ</v>
      </c>
      <c r="N12">
        <v>41</v>
      </c>
      <c r="O12">
        <v>50</v>
      </c>
      <c r="P12">
        <v>59</v>
      </c>
      <c r="Q12">
        <v>68</v>
      </c>
      <c r="R12">
        <v>77</v>
      </c>
      <c r="S12">
        <v>86</v>
      </c>
      <c r="T12">
        <v>95</v>
      </c>
      <c r="U12">
        <v>104</v>
      </c>
      <c r="V12">
        <v>113</v>
      </c>
      <c r="W12">
        <v>122</v>
      </c>
      <c r="X12">
        <v>131</v>
      </c>
      <c r="Y12">
        <v>140</v>
      </c>
      <c r="Z12">
        <v>149</v>
      </c>
      <c r="AA12">
        <v>158</v>
      </c>
      <c r="AB12">
        <v>167</v>
      </c>
      <c r="AC12">
        <v>176</v>
      </c>
      <c r="AD12">
        <v>185</v>
      </c>
      <c r="AE12">
        <v>194</v>
      </c>
      <c r="AF12">
        <v>203</v>
      </c>
      <c r="AG12">
        <v>212</v>
      </c>
      <c r="AH12">
        <v>221</v>
      </c>
      <c r="AI12">
        <v>230</v>
      </c>
      <c r="AJ12">
        <v>239</v>
      </c>
      <c r="AK12">
        <v>248</v>
      </c>
      <c r="AL12">
        <v>257</v>
      </c>
      <c r="AM12">
        <v>266</v>
      </c>
      <c r="AN12">
        <v>275</v>
      </c>
      <c r="AO12">
        <v>284</v>
      </c>
      <c r="AP12">
        <v>293</v>
      </c>
      <c r="AQ12">
        <v>302</v>
      </c>
      <c r="AR12">
        <v>311</v>
      </c>
      <c r="AS12">
        <v>320</v>
      </c>
      <c r="AT12">
        <v>329</v>
      </c>
      <c r="AU12">
        <v>338</v>
      </c>
      <c r="AV12">
        <v>347</v>
      </c>
      <c r="AW12">
        <v>356</v>
      </c>
      <c r="AX12">
        <v>365</v>
      </c>
      <c r="AY12">
        <v>374</v>
      </c>
      <c r="AZ12">
        <v>383</v>
      </c>
      <c r="BA12">
        <v>392</v>
      </c>
    </row>
    <row r="13" spans="1:64" x14ac:dyDescent="0.3">
      <c r="A13" s="7" t="s">
        <v>16</v>
      </c>
      <c r="B13" s="7" t="s">
        <v>17</v>
      </c>
      <c r="D13" s="6" t="str" cm="1">
        <f t="array" ref="D13">Inicjaly(A13,B13)</f>
        <v>AS</v>
      </c>
    </row>
    <row r="14" spans="1:64" x14ac:dyDescent="0.3">
      <c r="A14" s="7" t="s">
        <v>18</v>
      </c>
      <c r="B14" s="7" t="s">
        <v>19</v>
      </c>
      <c r="D14" s="6" t="str" cm="1">
        <f t="array" ref="D14">Inicjaly(A14,B14)</f>
        <v>MF</v>
      </c>
    </row>
    <row r="15" spans="1:64" x14ac:dyDescent="0.3">
      <c r="A15" s="7" t="s">
        <v>21</v>
      </c>
      <c r="B15" s="7" t="s">
        <v>20</v>
      </c>
      <c r="D15" s="6" t="str" cm="1">
        <f t="array" ref="D15">Inicjaly(A15,B15)</f>
        <v>AP</v>
      </c>
    </row>
    <row r="16" spans="1:64" x14ac:dyDescent="0.3">
      <c r="K16" t="e" cm="1">
        <f t="array" ref="K16">CNF(5)</f>
        <v>#VALUE!</v>
      </c>
      <c r="N16" t="e" cm="1">
        <f t="array" ref="N16">CNF(5)</f>
        <v>#VALUE!</v>
      </c>
    </row>
    <row r="17" spans="1:18" x14ac:dyDescent="0.3">
      <c r="A17" s="8" t="s">
        <v>22</v>
      </c>
      <c r="B17" s="5"/>
      <c r="C17" s="5"/>
      <c r="D17" s="5"/>
      <c r="E17" s="5"/>
      <c r="F17" s="5"/>
      <c r="G17" s="5"/>
    </row>
    <row r="19" spans="1:18" x14ac:dyDescent="0.3">
      <c r="A19" s="6" t="str" cm="1">
        <f t="array" ref="A19:L19">Lista_Miesiecy()</f>
        <v>STY</v>
      </c>
      <c r="B19" s="6" t="str">
        <v>LUT</v>
      </c>
      <c r="C19" s="6" t="str">
        <v>MAR</v>
      </c>
      <c r="D19" s="6" t="str">
        <v>KWI</v>
      </c>
      <c r="E19" s="6" t="str">
        <v>MAJ</v>
      </c>
      <c r="F19" s="6" t="str">
        <v>CZE</v>
      </c>
      <c r="G19" s="6" t="str">
        <v>LIP</v>
      </c>
      <c r="H19" s="6" t="str">
        <v>SIE</v>
      </c>
      <c r="I19" s="6" t="str">
        <v>WRZ</v>
      </c>
      <c r="J19" s="6" t="str">
        <v>PAZ</v>
      </c>
      <c r="K19" s="6" t="str">
        <v>LIS</v>
      </c>
      <c r="L19" s="6" t="str">
        <v>GRU</v>
      </c>
    </row>
    <row r="26" spans="1:18" x14ac:dyDescent="0.3">
      <c r="G26" t="str" cm="1">
        <f t="array" ref="G26:R26">Lista_Miesiecy()</f>
        <v>STY</v>
      </c>
      <c r="H26" t="str">
        <v>LUT</v>
      </c>
      <c r="I26" t="str">
        <v>MAR</v>
      </c>
      <c r="J26" t="str">
        <v>KWI</v>
      </c>
      <c r="K26" t="str">
        <v>MAJ</v>
      </c>
      <c r="L26" t="str">
        <v>CZE</v>
      </c>
      <c r="M26" t="str">
        <v>LIP</v>
      </c>
      <c r="N26" t="str">
        <v>SIE</v>
      </c>
      <c r="O26" t="str">
        <v>WRZ</v>
      </c>
      <c r="P26" t="str">
        <v>PAZ</v>
      </c>
      <c r="Q26" t="str">
        <v>LIS</v>
      </c>
      <c r="R26" t="str">
        <v>GRU</v>
      </c>
    </row>
    <row r="32" spans="1:18" x14ac:dyDescent="0.3">
      <c r="E32" cm="1">
        <f t="array" ref="E32:N33">ddddu(5)</f>
        <v>5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</row>
    <row r="33" spans="4:15" x14ac:dyDescent="0.3">
      <c r="E33">
        <v>5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</row>
    <row r="34" spans="4:15" x14ac:dyDescent="0.3">
      <c r="D34" t="e" cm="1">
        <f t="array" ref="D34">ddddu()</f>
        <v>#VALUE!</v>
      </c>
      <c r="F34" cm="1">
        <f t="array" ref="F34:O35">ddddu(11)</f>
        <v>11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</row>
    <row r="35" spans="4:15" x14ac:dyDescent="0.3">
      <c r="F35">
        <v>11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</row>
    <row r="36" spans="4:15" x14ac:dyDescent="0.3">
      <c r="D36" cm="1">
        <f t="array" ref="D36:M37">ddddu(1)</f>
        <v>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</row>
    <row r="37" spans="4:15" x14ac:dyDescent="0.3">
      <c r="D37">
        <v>1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</row>
    <row r="41" spans="4:15" x14ac:dyDescent="0.3">
      <c r="F41" t="str" cm="1">
        <f t="array" ref="F41">UsuwanieSamoglosek("asdqegvwe")</f>
        <v>sdqgvw</v>
      </c>
    </row>
  </sheetData>
  <mergeCells count="7">
    <mergeCell ref="I8:J8"/>
    <mergeCell ref="I1:J1"/>
    <mergeCell ref="L1:M1"/>
    <mergeCell ref="A1:C1"/>
    <mergeCell ref="E1:G1"/>
    <mergeCell ref="A5:C5"/>
    <mergeCell ref="E5:G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Aleksandra Piaskowa</dc:creator>
  <cp:lastModifiedBy>mrfla</cp:lastModifiedBy>
  <dcterms:created xsi:type="dcterms:W3CDTF">2015-06-05T18:19:34Z</dcterms:created>
  <dcterms:modified xsi:type="dcterms:W3CDTF">2023-06-29T20:14:09Z</dcterms:modified>
</cp:coreProperties>
</file>